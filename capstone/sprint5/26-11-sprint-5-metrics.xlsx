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tyne\Lewis\software\Stone-Ocean-Backlogs\capstone\sprint5\"/>
    </mc:Choice>
  </mc:AlternateContent>
  <xr:revisionPtr revIDLastSave="0" documentId="13_ncr:1_{15CA57C4-009D-4260-A4EE-5C9E8FACD9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2 Stone Ocean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9waKQw6W/sCCaSETrsdUO5kzn6Q=="/>
    </ext>
  </extLst>
</workbook>
</file>

<file path=xl/calcChain.xml><?xml version="1.0" encoding="utf-8"?>
<calcChain xmlns="http://schemas.openxmlformats.org/spreadsheetml/2006/main">
  <c r="E16" i="7" l="1"/>
  <c r="D16" i="7"/>
  <c r="C16" i="7"/>
  <c r="B16" i="7"/>
  <c r="I12" i="7"/>
  <c r="H12" i="7"/>
  <c r="G12" i="7"/>
  <c r="I11" i="7"/>
  <c r="H11" i="7"/>
  <c r="G11" i="7"/>
  <c r="I10" i="7"/>
  <c r="H10" i="7"/>
  <c r="G10" i="7"/>
  <c r="I9" i="7"/>
  <c r="H9" i="7"/>
  <c r="G9" i="7"/>
  <c r="A1" i="7"/>
  <c r="I16" i="7" l="1"/>
  <c r="G16" i="7"/>
  <c r="H16" i="7"/>
</calcChain>
</file>

<file path=xl/sharedStrings.xml><?xml version="1.0" encoding="utf-8"?>
<sst xmlns="http://schemas.openxmlformats.org/spreadsheetml/2006/main" count="30" uniqueCount="25">
  <si>
    <t>Name</t>
  </si>
  <si>
    <t>Estimated Capacity (hours)</t>
  </si>
  <si>
    <t>Story Points Committed</t>
  </si>
  <si>
    <t>Hours Worked/Effort (hours)</t>
  </si>
  <si>
    <t>Story Points Delivered</t>
  </si>
  <si>
    <t>Capacity to Effort (%)</t>
  </si>
  <si>
    <t>Committed to Delivered (%)</t>
  </si>
  <si>
    <t>Capacity to Delivered (%)</t>
  </si>
  <si>
    <t>Team Totals:</t>
  </si>
  <si>
    <t>Sprint:</t>
  </si>
  <si>
    <t>Team:</t>
  </si>
  <si>
    <t>Scrum Master:</t>
  </si>
  <si>
    <t>Product Owner</t>
  </si>
  <si>
    <t>Scrum Master</t>
  </si>
  <si>
    <t>Initial</t>
  </si>
  <si>
    <t>Date</t>
  </si>
  <si>
    <t>Preliminary Signoff</t>
  </si>
  <si>
    <t>Final Signoff</t>
  </si>
  <si>
    <t>Date/Time</t>
  </si>
  <si>
    <t>Stone Ocean</t>
  </si>
  <si>
    <t>Ryan Wandke</t>
  </si>
  <si>
    <t>Juno Tyne</t>
  </si>
  <si>
    <t>Nicholas Jones</t>
  </si>
  <si>
    <t>Fawz Manzoor</t>
  </si>
  <si>
    <t xml:space="preserve">Juno Tyne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</si>
</sst>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8"/>
      <color theme="1"/>
      <name val="Calibri"/>
      <family val="2"/>
      <scheme val="minor"/>
    </font>
    <font>
      <u/>
      <sz val="12"/>
      <color theme="1"/>
      <name val="Calibri (Body)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textRotation="180"/>
    </xf>
    <xf numFmtId="0" fontId="4" fillId="2" borderId="2" xfId="0" applyFont="1" applyFill="1" applyBorder="1" applyAlignment="1">
      <alignment textRotation="180"/>
    </xf>
    <xf numFmtId="0" fontId="4" fillId="0" borderId="0" xfId="0" applyFont="1" applyAlignment="1">
      <alignment horizontal="right"/>
    </xf>
    <xf numFmtId="0" fontId="4" fillId="2" borderId="3" xfId="0" applyFont="1" applyFill="1" applyBorder="1"/>
    <xf numFmtId="9" fontId="4" fillId="0" borderId="0" xfId="0" applyNumberFormat="1" applyFont="1" applyAlignment="1">
      <alignment horizontal="right"/>
    </xf>
    <xf numFmtId="9" fontId="4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9" fontId="6" fillId="0" borderId="0" xfId="0" applyNumberFormat="1" applyFont="1"/>
    <xf numFmtId="0" fontId="4" fillId="0" borderId="0" xfId="0" applyFont="1"/>
    <xf numFmtId="14" fontId="4" fillId="0" borderId="0" xfId="0" quotePrefix="1" applyNumberFormat="1" applyFont="1"/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1EDA-4B61-5345-86E3-D319343FC73C}">
  <dimension ref="A1:I1008"/>
  <sheetViews>
    <sheetView tabSelected="1" topLeftCell="A8" workbookViewId="0">
      <selection activeCell="K14" sqref="K14"/>
    </sheetView>
  </sheetViews>
  <sheetFormatPr defaultColWidth="11.19921875" defaultRowHeight="15.6"/>
  <cols>
    <col min="1" max="1" width="17.19921875" customWidth="1"/>
    <col min="2" max="5" width="5.19921875" customWidth="1"/>
    <col min="6" max="6" width="3" customWidth="1"/>
    <col min="7" max="9" width="6" customWidth="1"/>
    <col min="10" max="26" width="10.5" customWidth="1"/>
  </cols>
  <sheetData>
    <row r="1" spans="1:9" ht="23.4">
      <c r="A1" s="13" t="e">
        <f>#REF!</f>
        <v>#REF!</v>
      </c>
    </row>
    <row r="2" spans="1:9" ht="15" customHeight="1">
      <c r="A2" s="11" t="s">
        <v>9</v>
      </c>
      <c r="B2" s="12">
        <v>4</v>
      </c>
    </row>
    <row r="3" spans="1:9" ht="16.5" customHeight="1">
      <c r="A3" s="11" t="s">
        <v>10</v>
      </c>
      <c r="B3" s="2" t="s">
        <v>19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11</v>
      </c>
      <c r="B5" s="2" t="s">
        <v>24</v>
      </c>
      <c r="C5" s="3"/>
      <c r="D5" s="3"/>
      <c r="E5" s="3"/>
    </row>
    <row r="6" spans="1:9" ht="16.5" customHeight="1">
      <c r="A6" s="11" t="s">
        <v>12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20" t="s">
        <v>21</v>
      </c>
      <c r="B9" s="7">
        <v>10</v>
      </c>
      <c r="C9" s="7">
        <v>2</v>
      </c>
      <c r="D9" s="7"/>
      <c r="E9" s="7"/>
      <c r="F9" s="8"/>
      <c r="G9" s="9">
        <f t="shared" ref="G9:H12" si="0">D9/B9</f>
        <v>0</v>
      </c>
      <c r="H9" s="10">
        <f t="shared" si="0"/>
        <v>0</v>
      </c>
      <c r="I9" s="10">
        <f t="shared" ref="I9:I16" si="1">E9/B9</f>
        <v>0</v>
      </c>
    </row>
    <row r="10" spans="1:9" ht="15.75" customHeight="1">
      <c r="A10" s="20" t="s">
        <v>20</v>
      </c>
      <c r="B10" s="7">
        <v>12</v>
      </c>
      <c r="C10" s="7"/>
      <c r="D10" s="7"/>
      <c r="E10" s="7"/>
      <c r="F10" s="8"/>
      <c r="G10" s="9">
        <f t="shared" si="0"/>
        <v>0</v>
      </c>
      <c r="H10" s="10" t="e">
        <f t="shared" si="0"/>
        <v>#DIV/0!</v>
      </c>
      <c r="I10" s="10">
        <f t="shared" si="1"/>
        <v>0</v>
      </c>
    </row>
    <row r="11" spans="1:9" ht="15.75" customHeight="1">
      <c r="A11" s="20" t="s">
        <v>22</v>
      </c>
      <c r="B11" s="7">
        <v>12</v>
      </c>
      <c r="C11" s="7">
        <v>3</v>
      </c>
      <c r="D11" s="7"/>
      <c r="E11" s="7"/>
      <c r="F11" s="8"/>
      <c r="G11" s="9">
        <f t="shared" si="0"/>
        <v>0</v>
      </c>
      <c r="H11" s="10">
        <f t="shared" si="0"/>
        <v>0</v>
      </c>
      <c r="I11" s="10">
        <f t="shared" si="1"/>
        <v>0</v>
      </c>
    </row>
    <row r="12" spans="1:9" ht="15.75" customHeight="1">
      <c r="A12" s="20" t="s">
        <v>23</v>
      </c>
      <c r="B12" s="7">
        <v>12</v>
      </c>
      <c r="C12" s="7"/>
      <c r="D12" s="7"/>
      <c r="E12" s="7"/>
      <c r="F12" s="8"/>
      <c r="G12" s="9">
        <f t="shared" si="0"/>
        <v>0</v>
      </c>
      <c r="H12" s="10" t="e">
        <f t="shared" si="0"/>
        <v>#DIV/0!</v>
      </c>
      <c r="I12" s="10">
        <f t="shared" si="1"/>
        <v>0</v>
      </c>
    </row>
    <row r="13" spans="1:9" ht="15.75" customHeight="1">
      <c r="A13" s="11"/>
      <c r="B13" s="7"/>
      <c r="C13" s="7"/>
      <c r="D13" s="7"/>
      <c r="E13" s="7"/>
      <c r="F13" s="8"/>
      <c r="G13" s="9"/>
      <c r="H13" s="10"/>
      <c r="I13" s="10"/>
    </row>
    <row r="14" spans="1:9" ht="15.75" customHeight="1">
      <c r="A14" s="11"/>
      <c r="B14" s="7"/>
      <c r="C14" s="7"/>
      <c r="D14" s="7"/>
      <c r="E14" s="7"/>
      <c r="F14" s="8"/>
      <c r="G14" s="9"/>
      <c r="H14" s="10"/>
      <c r="I14" s="10"/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46</v>
      </c>
      <c r="C16" s="7">
        <f>SUM(C9:C14)</f>
        <v>5</v>
      </c>
      <c r="D16" s="7">
        <f>SUM(D9:D14)</f>
        <v>0</v>
      </c>
      <c r="E16" s="7">
        <f>SUM(E9:E14)</f>
        <v>0</v>
      </c>
      <c r="F16" s="8"/>
      <c r="G16" s="9">
        <f t="shared" ref="G16:H16" si="2">D16/B16</f>
        <v>0</v>
      </c>
      <c r="H16" s="10">
        <f t="shared" si="2"/>
        <v>0</v>
      </c>
      <c r="I16" s="10">
        <f t="shared" si="1"/>
        <v>0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16</v>
      </c>
      <c r="B19" s="15" t="s">
        <v>14</v>
      </c>
      <c r="C19" s="14"/>
      <c r="D19" s="14" t="s">
        <v>18</v>
      </c>
      <c r="E19" s="7"/>
    </row>
    <row r="20" spans="1:9" ht="15.75" customHeight="1">
      <c r="A20" s="11" t="s">
        <v>12</v>
      </c>
      <c r="B20" s="16"/>
      <c r="C20" s="16"/>
      <c r="D20" s="17"/>
      <c r="E20" s="3"/>
    </row>
    <row r="21" spans="1:9" ht="15.75" customHeight="1">
      <c r="A21" s="11" t="s">
        <v>13</v>
      </c>
      <c r="B21" s="10"/>
      <c r="C21" s="16"/>
      <c r="D21" s="17"/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17</v>
      </c>
      <c r="B23" s="15" t="s">
        <v>14</v>
      </c>
      <c r="C23" s="14"/>
      <c r="D23" s="14" t="s">
        <v>15</v>
      </c>
      <c r="E23" s="7"/>
    </row>
    <row r="24" spans="1:9" ht="15.75" customHeight="1">
      <c r="A24" s="11" t="s">
        <v>12</v>
      </c>
      <c r="B24" s="16"/>
      <c r="C24" s="16"/>
      <c r="D24" s="17"/>
      <c r="E24" s="3"/>
    </row>
    <row r="25" spans="1:9" ht="15.75" customHeight="1">
      <c r="A25" s="11" t="s">
        <v>13</v>
      </c>
      <c r="B25" s="10"/>
      <c r="C25" s="16"/>
      <c r="D25" s="17"/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Sprint2 Stone Ocean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Juno Tyne</cp:lastModifiedBy>
  <cp:lastPrinted>2026-09-07T00:08:41Z</cp:lastPrinted>
  <dcterms:created xsi:type="dcterms:W3CDTF">2022-03-25T02:48:07Z</dcterms:created>
  <dcterms:modified xsi:type="dcterms:W3CDTF">2026-10-20T16:34:48Z</dcterms:modified>
</cp:coreProperties>
</file>