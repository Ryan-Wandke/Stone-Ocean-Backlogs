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yne\Lewis\software\Stone-Ocean-Backlogs\capstone\sprint3\"/>
    </mc:Choice>
  </mc:AlternateContent>
  <xr:revisionPtr revIDLastSave="0" documentId="13_ncr:1_{9AEE66F3-6DE1-4D67-9A6D-8D0649DFD9D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2 Stone Ocea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<sst xmlns="http://schemas.openxmlformats.org/spreadsheetml/2006/main" count="214" uniqueCount="45">
  <si>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</si>
  <si>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</si>
  <si>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</si>
  <si>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</si>
  <si>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</si>
  <si>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</si>
  <si>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</si>
  <si>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</si>
  <si>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</si>
  <si>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</si>
  <si>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</si>
  <si>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</si>
  <si>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</si>
  <si>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</si>
  <si>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</si>
  <si>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</si>
  <si>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</si>
  <si>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</si>
  <si>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</si>
  <si>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</si>
  <si>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</si>
  <si>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</si>
  <si>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</si>
  <si>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</si>
  <si>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</si>
  <si>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</si>
  <si>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</si>
  <si>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</si>
  <si>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</si>
  <si>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</si>
  <si>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</si>
  <si>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</si>
  <si>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</si>
  <si>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</si>
  <si>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</si>
  <si>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</si>
  <si>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</si>
  <si>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</si>
  <si>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</si>
  <si>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 xml:space="preserve">Ryan Wandke </t>
  </si>
  <si>
    <t xml:space="preserve">Juno Tyne </t>
  </si>
  <si>
    <t>JT</t>
  </si>
  <si>
    <t>RW</t>
  </si>
  <si>
    <t>9/22/2026 11:56 AM</t>
  </si>
  <si>
    <t>10/4/2026 8:45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</si>
</sst>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</cols>
  <sheetData>
    <row r="1" spans="1:9" ht="23.4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51.8000000000000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19921875" defaultRowHeight="15" customHeight="1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H24" sqref="H24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2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39</v>
      </c>
      <c r="C5" s="3"/>
      <c r="D5" s="3"/>
      <c r="E5" s="3"/>
    </row>
    <row r="6" spans="1:9" ht="16.5" customHeight="1">
      <c r="A6" s="11" t="s">
        <v>17</v>
      </c>
      <c r="B6" s="2" t="s">
        <v>40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10</v>
      </c>
      <c r="C9" s="7">
        <v>9</v>
      </c>
      <c r="D9" s="7">
        <v>6</v>
      </c>
      <c r="E9" s="7">
        <v>4</v>
      </c>
      <c r="F9" s="8"/>
      <c r="G9" s="9">
        <f t="shared" ref="G9:H12" si="0">D9/B9</f>
        <v>0.6</v>
      </c>
      <c r="H9" s="10">
        <f t="shared" si="0"/>
        <v>0.44444444444444442</v>
      </c>
      <c r="I9" s="10">
        <f t="shared" ref="I9:I16" si="1">E9/B9</f>
        <v>0.4</v>
      </c>
    </row>
    <row r="10" spans="1:9" ht="15.75" customHeight="1">
      <c r="A10" s="20" t="s">
        <v>35</v>
      </c>
      <c r="B10" s="7">
        <v>12</v>
      </c>
      <c r="C10" s="7">
        <v>14</v>
      </c>
      <c r="D10" s="7">
        <v>13</v>
      </c>
      <c r="E10" s="7">
        <v>14</v>
      </c>
      <c r="F10" s="8"/>
      <c r="G10" s="9">
        <f t="shared" si="0"/>
        <v>1.0833333333333333</v>
      </c>
      <c r="H10" s="10">
        <f t="shared" si="0"/>
        <v>1</v>
      </c>
      <c r="I10" s="10">
        <f t="shared" si="1"/>
        <v>1.1666666666666667</v>
      </c>
    </row>
    <row r="11" spans="1:9" ht="15.75" customHeight="1">
      <c r="A11" s="20" t="s">
        <v>37</v>
      </c>
      <c r="B11" s="7">
        <v>12</v>
      </c>
      <c r="C11" s="7">
        <v>12</v>
      </c>
      <c r="D11" s="7">
        <v>8</v>
      </c>
      <c r="E11" s="7">
        <v>9</v>
      </c>
      <c r="F11" s="8"/>
      <c r="G11" s="9">
        <f t="shared" si="0"/>
        <v>0.66666666666666663</v>
      </c>
      <c r="H11" s="10">
        <f t="shared" si="0"/>
        <v>0.75</v>
      </c>
      <c r="I11" s="10">
        <f t="shared" si="1"/>
        <v>0.75</v>
      </c>
    </row>
    <row r="12" spans="1:9" ht="15.75" customHeight="1">
      <c r="A12" s="20" t="s">
        <v>38</v>
      </c>
      <c r="B12" s="7">
        <v>12</v>
      </c>
      <c r="C12" s="7">
        <v>13</v>
      </c>
      <c r="D12" s="7">
        <v>10</v>
      </c>
      <c r="E12" s="7">
        <v>13</v>
      </c>
      <c r="F12" s="8"/>
      <c r="G12" s="9">
        <f t="shared" si="0"/>
        <v>0.83333333333333337</v>
      </c>
      <c r="H12" s="10">
        <f t="shared" si="0"/>
        <v>1</v>
      </c>
      <c r="I12" s="10">
        <f t="shared" si="1"/>
        <v>1.0833333333333333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46</v>
      </c>
      <c r="C16" s="7">
        <f>SUM(C9:C14)</f>
        <v>48</v>
      </c>
      <c r="D16" s="7">
        <f>SUM(D9:D14)</f>
        <v>37</v>
      </c>
      <c r="E16" s="7">
        <f>SUM(E9:E14)</f>
        <v>40</v>
      </c>
      <c r="F16" s="8"/>
      <c r="G16" s="9">
        <f t="shared" ref="G16:H16" si="2">D16/B16</f>
        <v>0.80434782608695654</v>
      </c>
      <c r="H16" s="10">
        <f t="shared" si="2"/>
        <v>0.83333333333333337</v>
      </c>
      <c r="I16" s="10">
        <f t="shared" si="1"/>
        <v>0.86956521739130432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41</v>
      </c>
      <c r="C20" s="16"/>
      <c r="D20" s="17" t="s">
        <v>43</v>
      </c>
      <c r="E20" s="3"/>
    </row>
    <row r="21" spans="1:9" ht="15.75" customHeight="1">
      <c r="A21" s="11" t="s">
        <v>18</v>
      </c>
      <c r="B21" s="10" t="s">
        <v>42</v>
      </c>
      <c r="C21" s="16"/>
      <c r="D21" s="17">
        <v>46288.497916666667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41</v>
      </c>
      <c r="C24" s="16"/>
      <c r="D24" s="17" t="s">
        <v>44</v>
      </c>
      <c r="E24" s="3"/>
    </row>
    <row r="25" spans="1:9" ht="15.75" customHeight="1">
      <c r="A25" s="11" t="s">
        <v>18</v>
      </c>
      <c r="B25" s="10" t="s">
        <v>42</v>
      </c>
      <c r="C25" s="16"/>
      <c r="D25" s="17">
        <v>46299.865277777775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Sprint2 Stone 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Juno Tyne</cp:lastModifiedBy>
  <cp:lastPrinted>2026-09-07T00:08:41Z</cp:lastPrinted>
  <dcterms:created xsi:type="dcterms:W3CDTF">2022-03-25T02:48:07Z</dcterms:created>
  <dcterms:modified xsi:type="dcterms:W3CDTF">2026-10-05T01:48:34Z</dcterms:modified>
</cp:coreProperties>
</file>